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768\Desktop\"/>
    </mc:Choice>
  </mc:AlternateContent>
  <xr:revisionPtr revIDLastSave="0" documentId="13_ncr:1_{D8EE57F0-D23E-4CA0-8BBB-86E069DF87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Analysis" sheetId="1" r:id="rId1"/>
    <sheet name="Dashboard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/>
  <c r="B8" i="2"/>
  <c r="B7" i="2"/>
  <c r="B5" i="2"/>
  <c r="B4" i="2"/>
  <c r="B18" i="1"/>
  <c r="B25" i="1"/>
  <c r="K7" i="1"/>
  <c r="K8" i="1"/>
  <c r="K9" i="1"/>
  <c r="K10" i="1"/>
  <c r="K11" i="1"/>
  <c r="J2" i="1"/>
  <c r="K2" i="1" s="1"/>
  <c r="J3" i="1"/>
  <c r="J4" i="1"/>
  <c r="K4" i="1" s="1"/>
  <c r="J5" i="1"/>
  <c r="K5" i="1" s="1"/>
  <c r="J6" i="1"/>
  <c r="K6" i="1" s="1"/>
  <c r="B20" i="1"/>
  <c r="B19" i="1"/>
  <c r="B17" i="1"/>
  <c r="B26" i="1" s="1"/>
  <c r="B14" i="1"/>
  <c r="K3" i="1" l="1"/>
</calcChain>
</file>

<file path=xl/sharedStrings.xml><?xml version="1.0" encoding="utf-8"?>
<sst xmlns="http://schemas.openxmlformats.org/spreadsheetml/2006/main" count="93" uniqueCount="65">
  <si>
    <t>Employee</t>
  </si>
  <si>
    <t>Department</t>
  </si>
  <si>
    <t xml:space="preserve">Region </t>
  </si>
  <si>
    <t>Product</t>
  </si>
  <si>
    <t xml:space="preserve">Monthly Sales </t>
  </si>
  <si>
    <t xml:space="preserve">Target </t>
  </si>
  <si>
    <t>Attendance</t>
  </si>
  <si>
    <t>Customer Complaints</t>
  </si>
  <si>
    <t>Orders</t>
  </si>
  <si>
    <t>Aisha</t>
  </si>
  <si>
    <t>Rahul</t>
  </si>
  <si>
    <t>Priya</t>
  </si>
  <si>
    <t>Simran</t>
  </si>
  <si>
    <t>Arjun</t>
  </si>
  <si>
    <t>Neha</t>
  </si>
  <si>
    <t>Vikram</t>
  </si>
  <si>
    <t>Kavya</t>
  </si>
  <si>
    <t>Rohan</t>
  </si>
  <si>
    <t>Meera</t>
  </si>
  <si>
    <t>Sales</t>
  </si>
  <si>
    <t>Support</t>
  </si>
  <si>
    <t>HR</t>
  </si>
  <si>
    <t>Finance</t>
  </si>
  <si>
    <t>IT</t>
  </si>
  <si>
    <t xml:space="preserve">North </t>
  </si>
  <si>
    <t>South</t>
  </si>
  <si>
    <t>West</t>
  </si>
  <si>
    <t>East</t>
  </si>
  <si>
    <t>Laptop</t>
  </si>
  <si>
    <t>Monitor</t>
  </si>
  <si>
    <t>Keyboard</t>
  </si>
  <si>
    <t>Top Salesperson</t>
  </si>
  <si>
    <t>Average Attendance</t>
  </si>
  <si>
    <t>No. of Employees:</t>
  </si>
  <si>
    <t>Departments Represented:</t>
  </si>
  <si>
    <t>Regions Represented:</t>
  </si>
  <si>
    <t>Total Monthly Sales:</t>
  </si>
  <si>
    <t>Top Salesperson:</t>
  </si>
  <si>
    <t>Average Attendance:</t>
  </si>
  <si>
    <t>Total Customer Complaints:</t>
  </si>
  <si>
    <t>Row Labels</t>
  </si>
  <si>
    <t>Grand Total</t>
  </si>
  <si>
    <t>Achievement%</t>
  </si>
  <si>
    <t>Performance Status</t>
  </si>
  <si>
    <t>Person with Highest Sales:</t>
  </si>
  <si>
    <t>Person with Lowest Sales:</t>
  </si>
  <si>
    <t>Who exceeded their Targets:</t>
  </si>
  <si>
    <t>Who missed their Targets:</t>
  </si>
  <si>
    <t>Total Target:</t>
  </si>
  <si>
    <t>Overall Acheivement Percentage:</t>
  </si>
  <si>
    <t xml:space="preserve">Sum of Target </t>
  </si>
  <si>
    <t>Below Target</t>
  </si>
  <si>
    <t>Column Labels</t>
  </si>
  <si>
    <t>Aisha,Priya,Simran</t>
  </si>
  <si>
    <t>Arjun,Rahul</t>
  </si>
  <si>
    <t>KPI</t>
  </si>
  <si>
    <t>Value</t>
  </si>
  <si>
    <t>Total Employees</t>
  </si>
  <si>
    <t>Total Sales</t>
  </si>
  <si>
    <t>Total Target</t>
  </si>
  <si>
    <t>Overall Acheivement %</t>
  </si>
  <si>
    <t>Total Complaints</t>
  </si>
  <si>
    <t>Highest Sales</t>
  </si>
  <si>
    <t>AI-Assisted Sales Performance Dashboard</t>
  </si>
  <si>
    <r>
      <rPr>
        <sz val="11"/>
        <color theme="1"/>
        <rFont val="Calibri"/>
        <family val="2"/>
      </rPr>
      <t>₹</t>
    </r>
    <r>
      <rPr>
        <sz val="11"/>
        <color theme="1"/>
        <rFont val="Calibri"/>
        <family val="2"/>
        <scheme val="minor"/>
      </rPr>
      <t>91000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</si>
</sst>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0" fillId="0" borderId="5" xfId="0" applyBorder="1"/>
    <xf numFmtId="164" fontId="0" fillId="0" borderId="5" xfId="0" applyNumberFormat="1" applyBorder="1"/>
    <xf numFmtId="9" fontId="0" fillId="0" borderId="5" xfId="0" applyNumberFormat="1" applyBorder="1"/>
    <xf numFmtId="165" fontId="0" fillId="0" borderId="5" xfId="1" applyNumberFormat="1" applyFont="1" applyBorder="1"/>
    <xf numFmtId="0" fontId="3" fillId="0" borderId="6" xfId="0" applyFont="1" applyBorder="1"/>
    <xf numFmtId="0" fontId="0" fillId="0" borderId="7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164" fontId="0" fillId="0" borderId="8" xfId="0" applyNumberFormat="1" applyBorder="1"/>
    <xf numFmtId="9" fontId="0" fillId="0" borderId="8" xfId="1" applyFont="1" applyBorder="1"/>
    <xf numFmtId="0" fontId="0" fillId="0" borderId="4" xfId="0" applyBorder="1"/>
    <xf numFmtId="164" fontId="0" fillId="0" borderId="1" xfId="0" applyNumberFormat="1" applyBorder="1"/>
    <xf numFmtId="9" fontId="0" fillId="0" borderId="1" xfId="1" applyFont="1" applyBorder="1"/>
    <xf numFmtId="10" fontId="0" fillId="0" borderId="1" xfId="1" applyNumberFormat="1" applyFont="1" applyBorder="1"/>
    <xf numFmtId="0" fontId="0" fillId="0" borderId="9" xfId="0" applyBorder="1"/>
    <xf numFmtId="164" fontId="0" fillId="0" borderId="9" xfId="0" applyNumberFormat="1" applyBorder="1"/>
    <xf numFmtId="9" fontId="0" fillId="0" borderId="9" xfId="1" applyFont="1" applyBorder="1"/>
    <xf numFmtId="3" fontId="0" fillId="0" borderId="5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2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₹-43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₹-43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kti Gupta" refreshedDate="46299.873137731483" createdVersion="8" refreshedVersion="8" minRefreshableVersion="3" recordCount="10" xr:uid="{0B9F0AE4-3560-4C97-81F4-8A40DC0B87A7}">
  <cacheSource type="worksheet">
    <worksheetSource name="Table1"/>
  </cacheSource>
  <cacheFields count="11">
    <cacheField name="Employee" numFmtId="0">
      <sharedItems count="10">
        <s v="Aisha"/>
        <s v="Rahul"/>
        <s v="Priya"/>
        <s v="Simran"/>
        <s v="Arjun"/>
        <s v="Neha"/>
        <s v="Vikram"/>
        <s v="Kavya"/>
        <s v="Rohan"/>
        <s v="Meera"/>
      </sharedItems>
    </cacheField>
    <cacheField name="Department" numFmtId="0">
      <sharedItems/>
    </cacheField>
    <cacheField name="Region " numFmtId="0">
      <sharedItems/>
    </cacheField>
    <cacheField name="Product" numFmtId="0">
      <sharedItems/>
    </cacheField>
    <cacheField name="Monthly Sales " numFmtId="164">
      <sharedItems containsSemiMixedTypes="0" containsString="0" containsNumber="1" containsInteger="1" minValue="0" maxValue="91000"/>
    </cacheField>
    <cacheField name="Target " numFmtId="164">
      <sharedItems containsSemiMixedTypes="0" containsString="0" containsNumber="1" containsInteger="1" minValue="0" maxValue="85000"/>
    </cacheField>
    <cacheField name="Attendance" numFmtId="9">
      <sharedItems containsSemiMixedTypes="0" containsString="0" containsNumber="1" minValue="0.86" maxValue="0.97"/>
    </cacheField>
    <cacheField name="Customer Complaints" numFmtId="0">
      <sharedItems containsSemiMixedTypes="0" containsString="0" containsNumber="1" containsInteger="1" minValue="1" maxValue="9"/>
    </cacheField>
    <cacheField name="Orders" numFmtId="0">
      <sharedItems containsSemiMixedTypes="0" containsString="0" containsNumber="1" containsInteger="1" minValue="0" maxValue="45"/>
    </cacheField>
    <cacheField name="Achievement%" numFmtId="0">
      <sharedItems containsSemiMixedTypes="0" containsString="0" containsNumber="1" minValue="0" maxValue="1.0705882352941176"/>
    </cacheField>
    <cacheField name="Performance Status" numFmtId="0">
      <sharedItems count="2">
        <s v="Above Target"/>
        <s v="Below Targ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Sales"/>
    <s v="North "/>
    <s v="Laptop"/>
    <n v="85000"/>
    <n v="80000"/>
    <n v="0.96"/>
    <n v="3"/>
    <n v="42"/>
    <n v="1.0625"/>
    <x v="0"/>
  </r>
  <r>
    <x v="1"/>
    <s v="Sales"/>
    <s v="South"/>
    <s v="Monitor"/>
    <n v="62000"/>
    <n v="70000"/>
    <n v="0.88"/>
    <n v="7"/>
    <n v="31"/>
    <n v="0.88571428571428568"/>
    <x v="1"/>
  </r>
  <r>
    <x v="2"/>
    <s v="Sales"/>
    <s v="West"/>
    <s v="Laptop"/>
    <n v="91000"/>
    <n v="85000"/>
    <n v="0.94"/>
    <n v="2"/>
    <n v="45"/>
    <n v="1.0705882352941176"/>
    <x v="0"/>
  </r>
  <r>
    <x v="3"/>
    <s v="Sales"/>
    <s v="East"/>
    <s v="Keyboard"/>
    <n v="78000"/>
    <n v="75000"/>
    <n v="0.91"/>
    <n v="4"/>
    <n v="39"/>
    <n v="1.04"/>
    <x v="0"/>
  </r>
  <r>
    <x v="4"/>
    <s v="Sales"/>
    <s v="North "/>
    <s v="Monitor"/>
    <n v="54000"/>
    <n v="60000"/>
    <n v="0.86"/>
    <n v="9"/>
    <n v="28"/>
    <n v="0.9"/>
    <x v="1"/>
  </r>
  <r>
    <x v="5"/>
    <s v="Support"/>
    <s v="South"/>
    <s v="Laptop"/>
    <n v="0"/>
    <n v="0"/>
    <n v="0.93"/>
    <n v="5"/>
    <n v="0"/>
    <n v="0"/>
    <x v="1"/>
  </r>
  <r>
    <x v="6"/>
    <s v="Support"/>
    <s v="West"/>
    <s v="Monitor"/>
    <n v="0"/>
    <n v="0"/>
    <n v="0.89"/>
    <n v="8"/>
    <n v="0"/>
    <n v="0"/>
    <x v="1"/>
  </r>
  <r>
    <x v="7"/>
    <s v="HR"/>
    <s v="East"/>
    <s v="Keyboard"/>
    <n v="0"/>
    <n v="0"/>
    <n v="0.95"/>
    <n v="1"/>
    <n v="0"/>
    <n v="0"/>
    <x v="1"/>
  </r>
  <r>
    <x v="8"/>
    <s v="Finance"/>
    <s v="North "/>
    <s v="Laptop"/>
    <n v="0"/>
    <n v="0"/>
    <n v="0.97"/>
    <n v="2"/>
    <n v="0"/>
    <n v="0"/>
    <x v="1"/>
  </r>
  <r>
    <x v="9"/>
    <s v="IT"/>
    <s v="West"/>
    <s v="Monitor"/>
    <n v="0"/>
    <n v="0"/>
    <n v="0.92"/>
    <n v="3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8F20A-D0E0-4AA3-8D14-302E9D9CA2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:F23" firstHeaderRow="1" firstDataRow="2" firstDataCol="1"/>
  <pivotFields count="11">
    <pivotField axis="axisRow" showAll="0">
      <items count="11">
        <item x="0"/>
        <item x="4"/>
        <item x="7"/>
        <item x="9"/>
        <item x="5"/>
        <item x="2"/>
        <item x="1"/>
        <item x="8"/>
        <item x="3"/>
        <item x="6"/>
        <item t="default"/>
      </items>
    </pivotField>
    <pivotField showAll="0"/>
    <pivotField showAll="0"/>
    <pivotField showAll="0"/>
    <pivotField numFmtId="164" showAll="0"/>
    <pivotField dataField="1" numFmtId="164" showAll="0"/>
    <pivotField numFmtId="9" showAll="0"/>
    <pivotField showAll="0"/>
    <pivotField showAll="0"/>
    <pivotField showAll="0"/>
    <pivotField axis="axisCol" showAll="0">
      <items count="3">
        <item h="1" x="0"/>
        <item x="1"/>
        <item t="default"/>
      </items>
    </pivotField>
  </pivotFields>
  <rowFields count="1">
    <field x="0"/>
  </rowFields>
  <rowItems count="8">
    <i>
      <x v="1"/>
    </i>
    <i>
      <x v="2"/>
    </i>
    <i>
      <x v="3"/>
    </i>
    <i>
      <x v="4"/>
    </i>
    <i>
      <x v="6"/>
    </i>
    <i>
      <x v="7"/>
    </i>
    <i>
      <x v="9"/>
    </i>
    <i t="grand">
      <x/>
    </i>
  </rowItems>
  <colFields count="1">
    <field x="10"/>
  </colFields>
  <colItems count="2">
    <i>
      <x v="1"/>
    </i>
    <i t="grand">
      <x/>
    </i>
  </colItems>
  <dataFields count="1">
    <dataField name="Sum of Target 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D3464-0C68-4BC8-8E55-DEDC7457C9DC}" name="Table1" displayName="Table1" ref="A1:K11" totalsRowShown="0" headerRowDxfId="0" headerRowBorderDxfId="13" tableBorderDxfId="14" totalsRowBorderDxfId="12">
  <autoFilter ref="A1:K11" xr:uid="{8D3D3464-0C68-4BC8-8E55-DEDC7457C9DC}"/>
  <tableColumns count="11">
    <tableColumn id="1" xr3:uid="{E8DDEAD4-3AE3-4141-949F-2B18B2ED9E32}" name="Employee" dataDxfId="11"/>
    <tableColumn id="2" xr3:uid="{55EF43CC-8BFF-4935-8E09-898393039609}" name="Department" dataDxfId="10"/>
    <tableColumn id="3" xr3:uid="{579A8B37-5E8A-4E86-9644-3B2DEA29A1A7}" name="Region " dataDxfId="9"/>
    <tableColumn id="4" xr3:uid="{557F2F75-1291-4D4C-A118-5B62A9CA0369}" name="Product" dataDxfId="8"/>
    <tableColumn id="5" xr3:uid="{0B9850C1-051F-4F06-B5E1-571301004955}" name="Monthly Sales " dataDxfId="7"/>
    <tableColumn id="6" xr3:uid="{6C425036-195D-4238-B172-150E1C92A745}" name="Target " dataDxfId="6"/>
    <tableColumn id="7" xr3:uid="{60929586-166A-40FD-B2CD-A573E53BC17B}" name="Attendance" dataDxfId="5" dataCellStyle="Percent"/>
    <tableColumn id="8" xr3:uid="{C5DFE98C-9903-4966-8319-5B56CF01431B}" name="Customer Complaints" dataDxfId="4"/>
    <tableColumn id="9" xr3:uid="{22E6AE76-38F3-4B42-B2C5-359D86E85406}" name="Orders" dataDxfId="3"/>
    <tableColumn id="10" xr3:uid="{9759C8E4-25E1-4148-AA72-68910BBD86CB}" name="Achievement%" dataDxfId="2" dataCellStyle="Percent">
      <calculatedColumnFormula>E2/F2</calculatedColumnFormula>
    </tableColumn>
    <tableColumn id="11" xr3:uid="{29256286-FE44-4219-93B5-FF4F49F612D2}" name="Performance Status" dataDxfId="1">
      <calculatedColumnFormula>IF(Table1[[#This Row],[Achievement%]]&gt;=100%,"Above Target","Below Target")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30676C-932F-40DA-9844-BCA9B5D59A6F}" name="Table4" displayName="Table4" ref="A2:B10" totalsRowShown="0" headerRowDxfId="15" headerRowBorderDxfId="19" tableBorderDxfId="20" totalsRowBorderDxfId="18">
  <autoFilter ref="A2:B10" xr:uid="{B430676C-932F-40DA-9844-BCA9B5D59A6F}"/>
  <tableColumns count="2">
    <tableColumn id="1" xr3:uid="{B98D8081-2720-43F4-81AD-0BBE83827559}" name="KPI" dataDxfId="17"/>
    <tableColumn id="2" xr3:uid="{C919A04D-9C4C-4D72-ABF1-29DB50B2D0A3}" name="Value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workbookViewId="0">
      <pane ySplit="1" topLeftCell="A4" activePane="bottomLeft" state="frozen"/>
      <selection pane="bottomLeft" sqref="A1:K11"/>
    </sheetView>
  </sheetViews>
  <sheetFormatPr defaultRowHeight="14.4" x14ac:dyDescent="0.3"/>
  <cols>
    <col min="1" max="1" width="28.33203125" bestFit="1" customWidth="1"/>
    <col min="2" max="2" width="38.5546875" bestFit="1" customWidth="1"/>
    <col min="3" max="3" width="9.109375" customWidth="1"/>
    <col min="4" max="4" width="13.33203125" bestFit="1" customWidth="1"/>
    <col min="5" max="5" width="15.5546875" style="1" bestFit="1" customWidth="1"/>
    <col min="6" max="6" width="10.77734375" style="1" bestFit="1" customWidth="1"/>
    <col min="7" max="7" width="10.77734375" style="2" bestFit="1" customWidth="1"/>
    <col min="8" max="8" width="20.88671875" customWidth="1"/>
    <col min="10" max="10" width="15.88671875" style="2" bestFit="1" customWidth="1"/>
    <col min="11" max="12" width="20" bestFit="1" customWidth="1"/>
  </cols>
  <sheetData>
    <row r="1" spans="1:11" x14ac:dyDescent="0.3">
      <c r="A1" s="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9" t="s">
        <v>5</v>
      </c>
      <c r="G1" s="20" t="s">
        <v>6</v>
      </c>
      <c r="H1" s="18" t="s">
        <v>7</v>
      </c>
      <c r="I1" s="18" t="s">
        <v>8</v>
      </c>
      <c r="J1" s="20" t="s">
        <v>42</v>
      </c>
      <c r="K1" s="8" t="s">
        <v>43</v>
      </c>
    </row>
    <row r="2" spans="1:11" x14ac:dyDescent="0.3">
      <c r="A2" s="21" t="s">
        <v>9</v>
      </c>
      <c r="B2" s="16" t="s">
        <v>19</v>
      </c>
      <c r="C2" s="16" t="s">
        <v>24</v>
      </c>
      <c r="D2" s="16" t="s">
        <v>28</v>
      </c>
      <c r="E2" s="22">
        <v>85000</v>
      </c>
      <c r="F2" s="22">
        <v>80000</v>
      </c>
      <c r="G2" s="23">
        <v>0.96</v>
      </c>
      <c r="H2" s="16">
        <v>3</v>
      </c>
      <c r="I2" s="16">
        <v>42</v>
      </c>
      <c r="J2" s="24">
        <f t="shared" ref="J2:J6" si="0">E2/F2</f>
        <v>1.0625</v>
      </c>
      <c r="K2" s="10" t="str">
        <f>IF(Table1[[#This Row],[Achievement%]]&gt;=100%,"Above Target","Below Target")</f>
        <v>Above Target</v>
      </c>
    </row>
    <row r="3" spans="1:11" x14ac:dyDescent="0.3">
      <c r="A3" s="21" t="s">
        <v>10</v>
      </c>
      <c r="B3" s="16" t="s">
        <v>19</v>
      </c>
      <c r="C3" s="16" t="s">
        <v>25</v>
      </c>
      <c r="D3" s="16" t="s">
        <v>29</v>
      </c>
      <c r="E3" s="22">
        <v>62000</v>
      </c>
      <c r="F3" s="22">
        <v>70000</v>
      </c>
      <c r="G3" s="23">
        <v>0.88</v>
      </c>
      <c r="H3" s="16">
        <v>7</v>
      </c>
      <c r="I3" s="16">
        <v>31</v>
      </c>
      <c r="J3" s="24">
        <f t="shared" si="0"/>
        <v>0.88571428571428568</v>
      </c>
      <c r="K3" s="10" t="str">
        <f>IF(Table1[[#This Row],[Achievement%]]&gt;=100%,"Above Target","Below Target")</f>
        <v>Below Target</v>
      </c>
    </row>
    <row r="4" spans="1:11" x14ac:dyDescent="0.3">
      <c r="A4" s="21" t="s">
        <v>11</v>
      </c>
      <c r="B4" s="16" t="s">
        <v>19</v>
      </c>
      <c r="C4" s="16" t="s">
        <v>26</v>
      </c>
      <c r="D4" s="16" t="s">
        <v>28</v>
      </c>
      <c r="E4" s="22">
        <v>91000</v>
      </c>
      <c r="F4" s="22">
        <v>85000</v>
      </c>
      <c r="G4" s="23">
        <v>0.94</v>
      </c>
      <c r="H4" s="16">
        <v>2</v>
      </c>
      <c r="I4" s="16">
        <v>45</v>
      </c>
      <c r="J4" s="24">
        <f t="shared" si="0"/>
        <v>1.0705882352941176</v>
      </c>
      <c r="K4" s="10" t="str">
        <f>IF(Table1[[#This Row],[Achievement%]]&gt;=100%,"Above Target","Below Target")</f>
        <v>Above Target</v>
      </c>
    </row>
    <row r="5" spans="1:11" x14ac:dyDescent="0.3">
      <c r="A5" s="21" t="s">
        <v>12</v>
      </c>
      <c r="B5" s="16" t="s">
        <v>19</v>
      </c>
      <c r="C5" s="16" t="s">
        <v>27</v>
      </c>
      <c r="D5" s="16" t="s">
        <v>30</v>
      </c>
      <c r="E5" s="22">
        <v>78000</v>
      </c>
      <c r="F5" s="22">
        <v>75000</v>
      </c>
      <c r="G5" s="23">
        <v>0.91</v>
      </c>
      <c r="H5" s="16">
        <v>4</v>
      </c>
      <c r="I5" s="16">
        <v>39</v>
      </c>
      <c r="J5" s="23">
        <f t="shared" si="0"/>
        <v>1.04</v>
      </c>
      <c r="K5" s="10" t="str">
        <f>IF(Table1[[#This Row],[Achievement%]]&gt;=100%,"Above Target","Below Target")</f>
        <v>Above Target</v>
      </c>
    </row>
    <row r="6" spans="1:11" x14ac:dyDescent="0.3">
      <c r="A6" s="21" t="s">
        <v>13</v>
      </c>
      <c r="B6" s="16" t="s">
        <v>19</v>
      </c>
      <c r="C6" s="16" t="s">
        <v>24</v>
      </c>
      <c r="D6" s="16" t="s">
        <v>29</v>
      </c>
      <c r="E6" s="22">
        <v>54000</v>
      </c>
      <c r="F6" s="22">
        <v>60000</v>
      </c>
      <c r="G6" s="23">
        <v>0.86</v>
      </c>
      <c r="H6" s="16">
        <v>9</v>
      </c>
      <c r="I6" s="16">
        <v>28</v>
      </c>
      <c r="J6" s="23">
        <f t="shared" si="0"/>
        <v>0.9</v>
      </c>
      <c r="K6" s="10" t="str">
        <f>IF(Table1[[#This Row],[Achievement%]]&gt;=100%,"Above Target","Below Target")</f>
        <v>Below Target</v>
      </c>
    </row>
    <row r="7" spans="1:11" x14ac:dyDescent="0.3">
      <c r="A7" s="21" t="s">
        <v>14</v>
      </c>
      <c r="B7" s="16" t="s">
        <v>20</v>
      </c>
      <c r="C7" s="16" t="s">
        <v>25</v>
      </c>
      <c r="D7" s="16" t="s">
        <v>28</v>
      </c>
      <c r="E7" s="22">
        <v>0</v>
      </c>
      <c r="F7" s="22">
        <v>0</v>
      </c>
      <c r="G7" s="23">
        <v>0.93</v>
      </c>
      <c r="H7" s="16">
        <v>5</v>
      </c>
      <c r="I7" s="16">
        <v>0</v>
      </c>
      <c r="J7" s="23">
        <v>0</v>
      </c>
      <c r="K7" s="10" t="str">
        <f>IF(Table1[[#This Row],[Achievement%]]&gt;=100%,"Above Target","Below Target")</f>
        <v>Below Target</v>
      </c>
    </row>
    <row r="8" spans="1:11" x14ac:dyDescent="0.3">
      <c r="A8" s="21" t="s">
        <v>15</v>
      </c>
      <c r="B8" s="16" t="s">
        <v>20</v>
      </c>
      <c r="C8" s="16" t="s">
        <v>26</v>
      </c>
      <c r="D8" s="16" t="s">
        <v>29</v>
      </c>
      <c r="E8" s="22">
        <v>0</v>
      </c>
      <c r="F8" s="22">
        <v>0</v>
      </c>
      <c r="G8" s="23">
        <v>0.89</v>
      </c>
      <c r="H8" s="16">
        <v>8</v>
      </c>
      <c r="I8" s="16">
        <v>0</v>
      </c>
      <c r="J8" s="23">
        <v>0</v>
      </c>
      <c r="K8" s="10" t="str">
        <f>IF(Table1[[#This Row],[Achievement%]]&gt;=100%,"Above Target","Below Target")</f>
        <v>Below Target</v>
      </c>
    </row>
    <row r="9" spans="1:11" x14ac:dyDescent="0.3">
      <c r="A9" s="21" t="s">
        <v>16</v>
      </c>
      <c r="B9" s="16" t="s">
        <v>21</v>
      </c>
      <c r="C9" s="16" t="s">
        <v>27</v>
      </c>
      <c r="D9" s="16" t="s">
        <v>30</v>
      </c>
      <c r="E9" s="22">
        <v>0</v>
      </c>
      <c r="F9" s="22">
        <v>0</v>
      </c>
      <c r="G9" s="23">
        <v>0.95</v>
      </c>
      <c r="H9" s="16">
        <v>1</v>
      </c>
      <c r="I9" s="16">
        <v>0</v>
      </c>
      <c r="J9" s="23">
        <v>0</v>
      </c>
      <c r="K9" s="10" t="str">
        <f>IF(Table1[[#This Row],[Achievement%]]&gt;=100%,"Above Target","Below Target")</f>
        <v>Below Target</v>
      </c>
    </row>
    <row r="10" spans="1:11" x14ac:dyDescent="0.3">
      <c r="A10" s="21" t="s">
        <v>17</v>
      </c>
      <c r="B10" s="16" t="s">
        <v>22</v>
      </c>
      <c r="C10" s="16" t="s">
        <v>24</v>
      </c>
      <c r="D10" s="16" t="s">
        <v>28</v>
      </c>
      <c r="E10" s="22">
        <v>0</v>
      </c>
      <c r="F10" s="22">
        <v>0</v>
      </c>
      <c r="G10" s="23">
        <v>0.97</v>
      </c>
      <c r="H10" s="16">
        <v>2</v>
      </c>
      <c r="I10" s="16">
        <v>0</v>
      </c>
      <c r="J10" s="23">
        <v>0</v>
      </c>
      <c r="K10" s="10" t="str">
        <f>IF(Table1[[#This Row],[Achievement%]]&gt;=100%,"Above Target","Below Target")</f>
        <v>Below Target</v>
      </c>
    </row>
    <row r="11" spans="1:11" x14ac:dyDescent="0.3">
      <c r="A11" s="17" t="s">
        <v>18</v>
      </c>
      <c r="B11" s="25" t="s">
        <v>23</v>
      </c>
      <c r="C11" s="25" t="s">
        <v>26</v>
      </c>
      <c r="D11" s="25" t="s">
        <v>29</v>
      </c>
      <c r="E11" s="26">
        <v>0</v>
      </c>
      <c r="F11" s="26">
        <v>0</v>
      </c>
      <c r="G11" s="27">
        <v>0.92</v>
      </c>
      <c r="H11" s="25">
        <v>3</v>
      </c>
      <c r="I11" s="25">
        <v>0</v>
      </c>
      <c r="J11" s="27">
        <v>0</v>
      </c>
      <c r="K11" s="15" t="str">
        <f>IF(Table1[[#This Row],[Achievement%]]&gt;=100%,"Above Target","Below Target")</f>
        <v>Below Target</v>
      </c>
    </row>
    <row r="12" spans="1:11" x14ac:dyDescent="0.3">
      <c r="E12"/>
    </row>
    <row r="14" spans="1:11" x14ac:dyDescent="0.3">
      <c r="A14" t="s">
        <v>33</v>
      </c>
      <c r="B14">
        <f>COUNTA(Table1[Employee])</f>
        <v>10</v>
      </c>
      <c r="D14" s="3" t="s">
        <v>50</v>
      </c>
      <c r="E14" s="3" t="s">
        <v>52</v>
      </c>
      <c r="F14"/>
      <c r="G14"/>
    </row>
    <row r="15" spans="1:11" x14ac:dyDescent="0.3">
      <c r="A15" t="s">
        <v>34</v>
      </c>
      <c r="B15">
        <v>5</v>
      </c>
      <c r="D15" s="3" t="s">
        <v>40</v>
      </c>
      <c r="E15" t="s">
        <v>51</v>
      </c>
      <c r="F15" t="s">
        <v>41</v>
      </c>
      <c r="G15"/>
    </row>
    <row r="16" spans="1:11" x14ac:dyDescent="0.3">
      <c r="A16" t="s">
        <v>35</v>
      </c>
      <c r="B16">
        <v>4</v>
      </c>
      <c r="D16" s="4" t="s">
        <v>13</v>
      </c>
      <c r="E16" s="1">
        <v>60000</v>
      </c>
      <c r="F16" s="1">
        <v>60000</v>
      </c>
      <c r="G16"/>
    </row>
    <row r="17" spans="1:7" x14ac:dyDescent="0.3">
      <c r="A17" t="s">
        <v>36</v>
      </c>
      <c r="B17" s="1">
        <f>SUM(Table1[[Monthly Sales ]])</f>
        <v>370000</v>
      </c>
      <c r="D17" s="4" t="s">
        <v>16</v>
      </c>
      <c r="E17" s="1">
        <v>0</v>
      </c>
      <c r="F17" s="1">
        <v>0</v>
      </c>
      <c r="G17"/>
    </row>
    <row r="18" spans="1:7" x14ac:dyDescent="0.3">
      <c r="A18" t="s">
        <v>37</v>
      </c>
      <c r="B18" t="str">
        <f>INDEX(Table1[Employee],MATCH(MAX(Table1[[Monthly Sales ]]),Table1[[Monthly Sales ]],0))</f>
        <v>Priya</v>
      </c>
      <c r="D18" s="4" t="s">
        <v>18</v>
      </c>
      <c r="E18" s="1">
        <v>0</v>
      </c>
      <c r="F18" s="1">
        <v>0</v>
      </c>
      <c r="G18"/>
    </row>
    <row r="19" spans="1:7" x14ac:dyDescent="0.3">
      <c r="A19" t="s">
        <v>38</v>
      </c>
      <c r="B19" s="2">
        <f>AVERAGE(Table1[Attendance])</f>
        <v>0.92099999999999993</v>
      </c>
      <c r="D19" s="4" t="s">
        <v>14</v>
      </c>
      <c r="E19" s="1">
        <v>0</v>
      </c>
      <c r="F19" s="1">
        <v>0</v>
      </c>
      <c r="G19"/>
    </row>
    <row r="20" spans="1:7" x14ac:dyDescent="0.3">
      <c r="A20" t="s">
        <v>39</v>
      </c>
      <c r="B20">
        <f>SUM(Table1[Customer Complaints])</f>
        <v>44</v>
      </c>
      <c r="D20" s="4" t="s">
        <v>10</v>
      </c>
      <c r="E20" s="1">
        <v>70000</v>
      </c>
      <c r="F20" s="1">
        <v>70000</v>
      </c>
      <c r="G20"/>
    </row>
    <row r="21" spans="1:7" x14ac:dyDescent="0.3">
      <c r="A21" t="s">
        <v>44</v>
      </c>
      <c r="B21" t="s">
        <v>11</v>
      </c>
      <c r="D21" s="4" t="s">
        <v>17</v>
      </c>
      <c r="E21" s="1">
        <v>0</v>
      </c>
      <c r="F21" s="1">
        <v>0</v>
      </c>
      <c r="G21"/>
    </row>
    <row r="22" spans="1:7" x14ac:dyDescent="0.3">
      <c r="A22" t="s">
        <v>45</v>
      </c>
      <c r="B22" t="s">
        <v>13</v>
      </c>
      <c r="D22" s="4" t="s">
        <v>15</v>
      </c>
      <c r="E22" s="1">
        <v>0</v>
      </c>
      <c r="F22" s="1">
        <v>0</v>
      </c>
      <c r="G22"/>
    </row>
    <row r="23" spans="1:7" x14ac:dyDescent="0.3">
      <c r="A23" t="s">
        <v>46</v>
      </c>
      <c r="B23" t="s">
        <v>53</v>
      </c>
      <c r="D23" s="4" t="s">
        <v>41</v>
      </c>
      <c r="E23" s="1">
        <v>130000</v>
      </c>
      <c r="F23" s="1">
        <v>130000</v>
      </c>
      <c r="G23"/>
    </row>
    <row r="24" spans="1:7" x14ac:dyDescent="0.3">
      <c r="A24" t="s">
        <v>47</v>
      </c>
      <c r="B24" t="s">
        <v>54</v>
      </c>
      <c r="E24"/>
      <c r="F24"/>
      <c r="G24"/>
    </row>
    <row r="25" spans="1:7" x14ac:dyDescent="0.3">
      <c r="A25" t="s">
        <v>48</v>
      </c>
      <c r="B25" s="1">
        <f>SUM(Table1[[Target ]])</f>
        <v>370000</v>
      </c>
      <c r="E25"/>
      <c r="F25"/>
      <c r="G25"/>
    </row>
    <row r="26" spans="1:7" x14ac:dyDescent="0.3">
      <c r="A26" t="s">
        <v>49</v>
      </c>
      <c r="B26" s="5">
        <f>B17/B25</f>
        <v>1</v>
      </c>
      <c r="E26"/>
      <c r="F26"/>
      <c r="G26"/>
    </row>
    <row r="27" spans="1:7" x14ac:dyDescent="0.3">
      <c r="E27"/>
      <c r="F27"/>
    </row>
    <row r="28" spans="1:7" x14ac:dyDescent="0.3">
      <c r="E28"/>
      <c r="F28"/>
    </row>
    <row r="29" spans="1:7" x14ac:dyDescent="0.3">
      <c r="E29"/>
      <c r="F29"/>
    </row>
    <row r="30" spans="1:7" x14ac:dyDescent="0.3">
      <c r="E30"/>
      <c r="F30"/>
    </row>
    <row r="31" spans="1:7" x14ac:dyDescent="0.3">
      <c r="E31"/>
      <c r="F31"/>
    </row>
    <row r="32" spans="1:7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BC66-46C2-428C-9FD2-A1A3FDBA278A}">
  <dimension ref="A1:B10"/>
  <sheetViews>
    <sheetView tabSelected="1" workbookViewId="0">
      <selection activeCell="B9" sqref="B9"/>
    </sheetView>
  </sheetViews>
  <sheetFormatPr defaultRowHeight="14.4" x14ac:dyDescent="0.3"/>
  <cols>
    <col min="1" max="1" width="60.21875" bestFit="1" customWidth="1"/>
  </cols>
  <sheetData>
    <row r="1" spans="1:2" ht="23.4" x14ac:dyDescent="0.45">
      <c r="A1" s="6" t="s">
        <v>63</v>
      </c>
      <c r="B1" s="6"/>
    </row>
    <row r="2" spans="1:2" x14ac:dyDescent="0.3">
      <c r="A2" s="7" t="s">
        <v>55</v>
      </c>
      <c r="B2" s="8" t="s">
        <v>56</v>
      </c>
    </row>
    <row r="3" spans="1:2" x14ac:dyDescent="0.3">
      <c r="A3" s="9" t="s">
        <v>57</v>
      </c>
      <c r="B3" s="10">
        <v>10</v>
      </c>
    </row>
    <row r="4" spans="1:2" x14ac:dyDescent="0.3">
      <c r="A4" s="9" t="s">
        <v>58</v>
      </c>
      <c r="B4" s="11">
        <f>SUM(Table1[[Monthly Sales ]])</f>
        <v>370000</v>
      </c>
    </row>
    <row r="5" spans="1:2" x14ac:dyDescent="0.3">
      <c r="A5" s="9" t="s">
        <v>59</v>
      </c>
      <c r="B5" s="11">
        <f>SUM(Table1[[Monthly Sales ]])</f>
        <v>370000</v>
      </c>
    </row>
    <row r="6" spans="1:2" x14ac:dyDescent="0.3">
      <c r="A6" s="9" t="s">
        <v>60</v>
      </c>
      <c r="B6" s="12">
        <v>1</v>
      </c>
    </row>
    <row r="7" spans="1:2" x14ac:dyDescent="0.3">
      <c r="A7" s="9" t="s">
        <v>32</v>
      </c>
      <c r="B7" s="13">
        <f>AVERAGE(Table1[Attendance])</f>
        <v>0.92099999999999993</v>
      </c>
    </row>
    <row r="8" spans="1:2" x14ac:dyDescent="0.3">
      <c r="A8" s="9" t="s">
        <v>61</v>
      </c>
      <c r="B8" s="10">
        <f>SUM(Table1[Customer Complaints])</f>
        <v>44</v>
      </c>
    </row>
    <row r="9" spans="1:2" x14ac:dyDescent="0.3">
      <c r="A9" s="9" t="s">
        <v>62</v>
      </c>
      <c r="B9" s="28" t="s">
        <v>64</v>
      </c>
    </row>
    <row r="10" spans="1:2" x14ac:dyDescent="0.3">
      <c r="A10" s="14" t="s">
        <v>31</v>
      </c>
      <c r="B10" s="15" t="str">
        <f>INDEX(Table1[Employee],MATCH(MAX(Table1[[Monthly Sales ]]),Table1[[Monthly Sales ]],0))</f>
        <v>Priya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Yukti Gupta</dc:creator>
  <cp:lastModifiedBy>Yukti Gupta</cp:lastModifiedBy>
  <dcterms:created xsi:type="dcterms:W3CDTF">2015-06-05T18:17:20Z</dcterms:created>
  <dcterms:modified xsi:type="dcterms:W3CDTF">2026-10-05T09:14:07Z</dcterms:modified>
</cp:coreProperties>
</file>