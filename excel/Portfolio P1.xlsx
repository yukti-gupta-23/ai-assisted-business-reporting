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768\Desktop\"/>
    </mc:Choice>
  </mc:AlternateContent>
  <xr:revisionPtr revIDLastSave="0" documentId="8_{DC85E8FF-37D0-455B-98DC-707F783C4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9" i="1"/>
  <c r="F15" i="1"/>
  <c r="H2" i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D19" i="1"/>
  <c r="D18" i="1"/>
  <c r="F14" i="1"/>
  <c r="F13" i="1"/>
  <c r="D16" i="1"/>
  <c r="D15" i="1"/>
  <c r="D14" i="1"/>
  <c r="D13" i="1"/>
</calcChain>
</file>

<file path=xl/sharedStrings.xml><?xml version="1.0" encoding="utf-8"?>
<sst xmlns="http://schemas.openxmlformats.org/spreadsheetml/2006/main" count="49" uniqueCount="43">
  <si>
    <t>Employee 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</si>
  <si>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</si>
  <si>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</si>
  <si>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</si>
  <si>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</si>
  <si>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</si>
  <si>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</si>
  <si>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</si>
  <si>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</si>
  <si>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</si>
  <si>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</si>
  <si>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 xml:space="preserve">Employee </t>
  </si>
  <si>
    <t>Aisha</t>
  </si>
  <si>
    <t>Rahul</t>
  </si>
  <si>
    <t>Neha</t>
  </si>
  <si>
    <t>Arjun</t>
  </si>
  <si>
    <t>Rohan</t>
  </si>
  <si>
    <t>Priya</t>
  </si>
  <si>
    <t>Simran</t>
  </si>
  <si>
    <t xml:space="preserve">Karan </t>
  </si>
  <si>
    <t xml:space="preserve">Meera </t>
  </si>
  <si>
    <t>Dev</t>
  </si>
  <si>
    <t>Department</t>
  </si>
  <si>
    <t xml:space="preserve">Sales </t>
  </si>
  <si>
    <t>HR</t>
  </si>
  <si>
    <t>IT</t>
  </si>
  <si>
    <t>Finance</t>
  </si>
  <si>
    <t>Sales</t>
  </si>
  <si>
    <t>Salary</t>
  </si>
  <si>
    <t>Attendance</t>
  </si>
  <si>
    <t xml:space="preserve">Total Salary: </t>
  </si>
  <si>
    <t>Average Salary:</t>
  </si>
  <si>
    <t>Highest Salary:</t>
  </si>
  <si>
    <t>Lowest Salary:</t>
  </si>
  <si>
    <t>Total Sales:</t>
  </si>
  <si>
    <t>Average Sales:</t>
  </si>
  <si>
    <t>Highest Sales Amount:</t>
  </si>
  <si>
    <t>Bonus</t>
  </si>
  <si>
    <t>Performance Status</t>
  </si>
  <si>
    <t xml:space="preserve">Total count: </t>
  </si>
  <si>
    <t>Average Attendance:</t>
  </si>
  <si>
    <t>Top Salesperson:</t>
  </si>
  <si>
    <t>Sales-Attendance &gt;=90%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</si>
</sst>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_ [$₹-439]* #,##0_ ;_ [$₹-439]* \-#,##0_ ;_ [$₹-439]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0" fillId="0" borderId="0" xfId="1" applyNumberFormat="1" applyFont="1"/>
    <xf numFmtId="0" fontId="0" fillId="0" borderId="1" xfId="0" applyFont="1" applyBorder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 [$₹-439]* #,##0_ ;_ [$₹-439]* \-#,##0_ ;_ [$₹-439]* &quot;-&quot;??_ ;_ @_ "/>
    </dxf>
    <dxf>
      <numFmt numFmtId="164" formatCode="[$₹-43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CDCF4-04D8-4A53-B033-D33422A4C1A0}" name="Table1" displayName="Table1" ref="A1:H11" totalsRowShown="0">
  <autoFilter ref="A1:H11" xr:uid="{724CDCF4-04D8-4A53-B033-D33422A4C1A0}"/>
  <tableColumns count="8">
    <tableColumn id="1" xr3:uid="{171E9393-17DA-456A-95ED-F84A88BA7EC5}" name="Employee ID"/>
    <tableColumn id="2" xr3:uid="{3FEEA0BA-1267-4DDD-B435-A916A6ADD597}" name="Employee "/>
    <tableColumn id="3" xr3:uid="{00579FAD-3EC2-44E5-8806-FC4F0F527C8B}" name="Department"/>
    <tableColumn id="4" xr3:uid="{54A44CCC-5AC9-409E-A69C-385B10357DA1}" name="Salary" dataDxfId="6"/>
    <tableColumn id="5" xr3:uid="{A06D8284-B2EA-4087-BD31-59218D1AD174}" name="Sales" dataDxfId="5"/>
    <tableColumn id="6" xr3:uid="{765BD5C3-0D1C-49F9-A681-2C99771FF9A6}" name="Attendance" dataDxfId="4" dataCellStyle="Percent"/>
    <tableColumn id="7" xr3:uid="{9982AD76-9C71-49B3-ABBD-958C3E318AB0}" name="Bonus" dataDxfId="3" dataCellStyle="Percent">
      <calculatedColumnFormula>IF(Table1[[#This Row],[Sales]]&gt;80000,5000,2000)</calculatedColumnFormula>
    </tableColumn>
    <tableColumn id="8" xr3:uid="{646C6FF6-09A1-402E-85DA-5B4A147A782B}" name="Performance Status" dataDxfId="2" dataCellStyle="Percent">
      <calculatedColumnFormula>IF(Table1[[#This Row],[Attendance]]&gt;=90%,"Good","Needs Improvement")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3.77734375" bestFit="1" customWidth="1"/>
    <col min="2" max="2" width="12" bestFit="1" customWidth="1"/>
    <col min="3" max="3" width="19.21875" bestFit="1" customWidth="1"/>
    <col min="4" max="4" width="10" style="1" bestFit="1" customWidth="1"/>
    <col min="5" max="5" width="21.88671875" style="2" bestFit="1" customWidth="1"/>
    <col min="6" max="6" width="13" style="3" bestFit="1" customWidth="1"/>
    <col min="7" max="7" width="8.44140625" style="3" bestFit="1" customWidth="1"/>
    <col min="8" max="8" width="20" style="3" bestFit="1" customWidth="1"/>
  </cols>
  <sheetData>
    <row r="1" spans="1:8" x14ac:dyDescent="0.3">
      <c r="A1" t="s">
        <v>0</v>
      </c>
      <c r="B1" t="s">
        <v>11</v>
      </c>
      <c r="C1" t="s">
        <v>22</v>
      </c>
      <c r="D1" s="1" t="s">
        <v>28</v>
      </c>
      <c r="E1" s="2" t="s">
        <v>27</v>
      </c>
      <c r="F1" s="3" t="s">
        <v>29</v>
      </c>
      <c r="G1" s="3" t="s">
        <v>37</v>
      </c>
      <c r="H1" s="3" t="s">
        <v>38</v>
      </c>
    </row>
    <row r="2" spans="1:8" x14ac:dyDescent="0.3">
      <c r="A2" t="s">
        <v>1</v>
      </c>
      <c r="B2" t="s">
        <v>12</v>
      </c>
      <c r="C2" t="s">
        <v>27</v>
      </c>
      <c r="D2" s="1">
        <v>32000</v>
      </c>
      <c r="E2" s="2">
        <v>85000</v>
      </c>
      <c r="F2" s="3">
        <v>0.94</v>
      </c>
      <c r="G2" s="5">
        <f>IF(Table1[[#This Row],[Sales]]&gt;80000,5000,2000)</f>
        <v>5000</v>
      </c>
      <c r="H2" s="5" t="str">
        <f>IF(Table1[[#This Row],[Attendance]]&gt;=90%,"Good","Needs Improvement")</f>
        <v>Good</v>
      </c>
    </row>
    <row r="3" spans="1:8" x14ac:dyDescent="0.3">
      <c r="A3" t="s">
        <v>2</v>
      </c>
      <c r="B3" t="s">
        <v>13</v>
      </c>
      <c r="C3" t="s">
        <v>24</v>
      </c>
      <c r="D3" s="1">
        <v>35000</v>
      </c>
      <c r="E3" s="2">
        <v>0</v>
      </c>
      <c r="F3" s="3">
        <v>0.96</v>
      </c>
      <c r="G3" s="5">
        <f>IF(Table1[[#This Row],[Sales]]&gt;80000,5000,2000)</f>
        <v>2000</v>
      </c>
      <c r="H3" s="5" t="str">
        <f>IF(Table1[[#This Row],[Attendance]]&gt;=90%,"Good","Needs Improvement")</f>
        <v>Good</v>
      </c>
    </row>
    <row r="4" spans="1:8" x14ac:dyDescent="0.3">
      <c r="A4" t="s">
        <v>3</v>
      </c>
      <c r="B4" t="s">
        <v>14</v>
      </c>
      <c r="C4" t="s">
        <v>23</v>
      </c>
      <c r="D4" s="1">
        <v>29000</v>
      </c>
      <c r="E4" s="2">
        <v>72000</v>
      </c>
      <c r="F4" s="3">
        <v>0.88</v>
      </c>
      <c r="G4" s="5">
        <f>IF(Table1[[#This Row],[Sales]]&gt;80000,5000,2000)</f>
        <v>2000</v>
      </c>
      <c r="H4" s="5" t="str">
        <f>IF(Table1[[#This Row],[Attendance]]&gt;=90%,"Good","Needs Improvement")</f>
        <v>Needs Improvement</v>
      </c>
    </row>
    <row r="5" spans="1:8" x14ac:dyDescent="0.3">
      <c r="A5" t="s">
        <v>4</v>
      </c>
      <c r="B5" t="s">
        <v>15</v>
      </c>
      <c r="C5" t="s">
        <v>25</v>
      </c>
      <c r="D5" s="1">
        <v>45000</v>
      </c>
      <c r="E5" s="2">
        <v>0</v>
      </c>
      <c r="F5" s="3">
        <v>0.91</v>
      </c>
      <c r="G5" s="5">
        <f>IF(Table1[[#This Row],[Sales]]&gt;80000,5000,2000)</f>
        <v>2000</v>
      </c>
      <c r="H5" s="5" t="str">
        <f>IF(Table1[[#This Row],[Attendance]]&gt;=90%,"Good","Needs Improvement")</f>
        <v>Good</v>
      </c>
    </row>
    <row r="6" spans="1:8" x14ac:dyDescent="0.3">
      <c r="A6" t="s">
        <v>5</v>
      </c>
      <c r="B6" t="s">
        <v>17</v>
      </c>
      <c r="C6" t="s">
        <v>23</v>
      </c>
      <c r="D6" s="1">
        <v>31000</v>
      </c>
      <c r="E6" s="2">
        <v>91000</v>
      </c>
      <c r="F6" s="3">
        <v>0.97</v>
      </c>
      <c r="G6" s="5">
        <f>IF(Table1[[#This Row],[Sales]]&gt;80000,5000,2000)</f>
        <v>5000</v>
      </c>
      <c r="H6" s="5" t="str">
        <f>IF(Table1[[#This Row],[Attendance]]&gt;=90%,"Good","Needs Improvement")</f>
        <v>Good</v>
      </c>
    </row>
    <row r="7" spans="1:8" x14ac:dyDescent="0.3">
      <c r="A7" t="s">
        <v>6</v>
      </c>
      <c r="B7" t="s">
        <v>16</v>
      </c>
      <c r="C7" t="s">
        <v>26</v>
      </c>
      <c r="D7" s="1">
        <v>40000</v>
      </c>
      <c r="E7" s="2">
        <v>0</v>
      </c>
      <c r="F7" s="3">
        <v>0.89</v>
      </c>
      <c r="G7" s="5">
        <f>IF(Table1[[#This Row],[Sales]]&gt;80000,5000,2000)</f>
        <v>2000</v>
      </c>
      <c r="H7" s="5" t="str">
        <f>IF(Table1[[#This Row],[Attendance]]&gt;=90%,"Good","Needs Improvement")</f>
        <v>Needs Improvement</v>
      </c>
    </row>
    <row r="8" spans="1:8" x14ac:dyDescent="0.3">
      <c r="A8" t="s">
        <v>7</v>
      </c>
      <c r="B8" t="s">
        <v>18</v>
      </c>
      <c r="C8" t="s">
        <v>27</v>
      </c>
      <c r="D8" s="1">
        <v>34000</v>
      </c>
      <c r="E8" s="2">
        <v>78000</v>
      </c>
      <c r="F8" s="3">
        <v>0.93</v>
      </c>
      <c r="G8" s="5">
        <f>IF(Table1[[#This Row],[Sales]]&gt;80000,5000,2000)</f>
        <v>2000</v>
      </c>
      <c r="H8" s="5" t="str">
        <f>IF(Table1[[#This Row],[Attendance]]&gt;=90%,"Good","Needs Improvement")</f>
        <v>Good</v>
      </c>
    </row>
    <row r="9" spans="1:8" x14ac:dyDescent="0.3">
      <c r="A9" t="s">
        <v>8</v>
      </c>
      <c r="B9" t="s">
        <v>19</v>
      </c>
      <c r="C9" t="s">
        <v>25</v>
      </c>
      <c r="D9" s="1">
        <v>42000</v>
      </c>
      <c r="E9" s="2">
        <v>0</v>
      </c>
      <c r="F9" s="3">
        <v>0.86</v>
      </c>
      <c r="G9" s="5">
        <f>IF(Table1[[#This Row],[Sales]]&gt;80000,5000,2000)</f>
        <v>2000</v>
      </c>
      <c r="H9" s="5" t="str">
        <f>IF(Table1[[#This Row],[Attendance]]&gt;=90%,"Good","Needs Improvement")</f>
        <v>Needs Improvement</v>
      </c>
    </row>
    <row r="10" spans="1:8" x14ac:dyDescent="0.3">
      <c r="A10" t="s">
        <v>9</v>
      </c>
      <c r="B10" t="s">
        <v>20</v>
      </c>
      <c r="C10" t="s">
        <v>24</v>
      </c>
      <c r="D10" s="1">
        <v>36000</v>
      </c>
      <c r="E10" s="2">
        <v>0</v>
      </c>
      <c r="F10" s="3">
        <v>0.95</v>
      </c>
      <c r="G10" s="5">
        <f>IF(Table1[[#This Row],[Sales]]&gt;80000,5000,2000)</f>
        <v>2000</v>
      </c>
      <c r="H10" s="5" t="str">
        <f>IF(Table1[[#This Row],[Attendance]]&gt;=90%,"Good","Needs Improvement")</f>
        <v>Good</v>
      </c>
    </row>
    <row r="11" spans="1:8" x14ac:dyDescent="0.3">
      <c r="A11" t="s">
        <v>10</v>
      </c>
      <c r="B11" t="s">
        <v>21</v>
      </c>
      <c r="C11" t="s">
        <v>27</v>
      </c>
      <c r="D11" s="1">
        <v>30000</v>
      </c>
      <c r="E11" s="2">
        <v>68000</v>
      </c>
      <c r="F11" s="3">
        <v>0.84</v>
      </c>
      <c r="G11" s="5">
        <f>IF(Table1[[#This Row],[Sales]]&gt;80000,5000,2000)</f>
        <v>2000</v>
      </c>
      <c r="H11" s="5" t="str">
        <f>IF(Table1[[#This Row],[Attendance]]&gt;=90%,"Good","Needs Improvement")</f>
        <v>Needs Improvement</v>
      </c>
    </row>
    <row r="13" spans="1:8" x14ac:dyDescent="0.3">
      <c r="C13" t="s">
        <v>30</v>
      </c>
      <c r="D13" s="1">
        <f>SUM(D2,D3,D4,D5,D6,D7,D8,D9,D10,D11)</f>
        <v>354000</v>
      </c>
      <c r="E13" s="2" t="s">
        <v>34</v>
      </c>
      <c r="F13" s="4">
        <f>SUM(Table1[Sales])</f>
        <v>394000</v>
      </c>
      <c r="G13" s="4"/>
      <c r="H13" s="4"/>
    </row>
    <row r="14" spans="1:8" x14ac:dyDescent="0.3">
      <c r="C14" t="s">
        <v>31</v>
      </c>
      <c r="D14" s="1">
        <f>AVERAGE(Table1[Salary])</f>
        <v>35400</v>
      </c>
      <c r="E14" s="2" t="s">
        <v>35</v>
      </c>
      <c r="F14" s="4">
        <f>AVERAGE(E2:E11)</f>
        <v>39400</v>
      </c>
      <c r="G14" s="4"/>
      <c r="H14" s="4"/>
    </row>
    <row r="15" spans="1:8" x14ac:dyDescent="0.3">
      <c r="C15" t="s">
        <v>32</v>
      </c>
      <c r="D15" s="1">
        <f>MAX(D1:D11)</f>
        <v>45000</v>
      </c>
      <c r="E15" s="2" t="s">
        <v>40</v>
      </c>
      <c r="F15" s="3">
        <f>AVERAGE(F2:F11)</f>
        <v>0.91299999999999992</v>
      </c>
    </row>
    <row r="16" spans="1:8" ht="15" thickBot="1" x14ac:dyDescent="0.35">
      <c r="C16" t="s">
        <v>33</v>
      </c>
      <c r="D16" s="1">
        <f>MIN(Table1[Salary])</f>
        <v>29000</v>
      </c>
      <c r="E16" s="6" t="s">
        <v>42</v>
      </c>
      <c r="F16" s="7">
        <f>SUMIF(Table1[Attendance],"&gt;=90%",Table1[Sales])</f>
        <v>254000</v>
      </c>
    </row>
    <row r="18" spans="3:6" x14ac:dyDescent="0.3">
      <c r="C18" t="s">
        <v>39</v>
      </c>
      <c r="D18">
        <f>COUNTA(Table1[[Employee ]])</f>
        <v>10</v>
      </c>
    </row>
    <row r="19" spans="3:6" x14ac:dyDescent="0.3">
      <c r="C19" t="s">
        <v>36</v>
      </c>
      <c r="D19" s="1">
        <f>MAX(Table1[Sales])</f>
        <v>91000</v>
      </c>
      <c r="E19" s="2" t="s">
        <v>41</v>
      </c>
      <c r="F19" s="5" t="str">
        <f>_xlfn.XLOOKUP(MAX(Table1[Sales]),Table1[Sales],Table1[[Employee ]])</f>
        <v>Priya</v>
      </c>
    </row>
  </sheetData>
  <phoneticPr fontId="2" type="noConversion"/>
  <conditionalFormatting sqref="A2:H11">
    <cfRule type="top10" priority="1" rank="1"/>
  </conditionalFormatting>
  <conditionalFormatting sqref="F19:H19">
    <cfRule type="containsText" dxfId="1" priority="2" operator="containsText" text="91000">
      <formula>NOT(ISERROR(SEARCH("91000",F19)))</formula>
    </cfRule>
    <cfRule type="cellIs" dxfId="0" priority="3" operator="equal">
      <formula>91000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Gupta</dc:creator>
  <cp:lastModifiedBy>Yukti Gupta</cp:lastModifiedBy>
  <dcterms:created xsi:type="dcterms:W3CDTF">2015-06-05T18:17:20Z</dcterms:created>
  <dcterms:modified xsi:type="dcterms:W3CDTF">2026-10-03T18:38:19Z</dcterms:modified>
</cp:coreProperties>
</file>